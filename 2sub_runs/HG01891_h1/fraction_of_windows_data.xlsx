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f65dc260a8b6bf/UMN/Rotations/hsieh/code/kmer_hmmix/HG01891_h1/"/>
    </mc:Choice>
  </mc:AlternateContent>
  <xr:revisionPtr revIDLastSave="0" documentId="8_{A64C4181-D2E7-1B4A-B7E0-20CF189039D1}" xr6:coauthVersionLast="47" xr6:coauthVersionMax="47" xr10:uidLastSave="{00000000-0000-0000-0000-000000000000}"/>
  <bookViews>
    <workbookView xWindow="1100" yWindow="900" windowWidth="28040" windowHeight="17180" xr2:uid="{372A5BF9-713E-3B49-803D-754EF0B49C51}"/>
  </bookViews>
  <sheets>
    <sheet name="Sheet1" sheetId="1" r:id="rId1"/>
  </sheets>
  <definedNames>
    <definedName name="_xlnm._FilterDatabase" localSheetId="0" hidden="1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1" l="1"/>
  <c r="E56" i="1"/>
  <c r="E58" i="1" s="1"/>
  <c r="D56" i="1"/>
  <c r="E37" i="1"/>
  <c r="E36" i="1"/>
  <c r="E38" i="1" s="1"/>
  <c r="D36" i="1"/>
  <c r="E18" i="1"/>
  <c r="E17" i="1"/>
  <c r="D17" i="1"/>
  <c r="E19" i="1" l="1"/>
</calcChain>
</file>

<file path=xl/sharedStrings.xml><?xml version="1.0" encoding="utf-8"?>
<sst xmlns="http://schemas.openxmlformats.org/spreadsheetml/2006/main" count="54" uniqueCount="34">
  <si>
    <t xml:space="preserve"> ['denisova', 'altai', 'chag', 'vindija'], fraction of windows equal</t>
  </si>
  <si>
    <t xml:space="preserve"> ['denisova', 'altai', 'chag'], fraction of windows equal</t>
  </si>
  <si>
    <t xml:space="preserve"> ['denisova', 'altai', 'vindija'], fraction of windows equal</t>
  </si>
  <si>
    <t xml:space="preserve"> ['denisova', 'chag', 'vindija'], fraction of windows equal</t>
  </si>
  <si>
    <t xml:space="preserve"> ['altai', 'chag', 'vindija'], fraction of windows equal</t>
  </si>
  <si>
    <t xml:space="preserve"> ['denisova', 'altai'], fraction of windows equal</t>
  </si>
  <si>
    <t xml:space="preserve"> ['denisova', 'chag'], fraction of windows equal</t>
  </si>
  <si>
    <t xml:space="preserve"> ['denisova', 'vindija'], fraction of windows equal</t>
  </si>
  <si>
    <t xml:space="preserve"> ['altai', 'chag'], fraction of windows equal</t>
  </si>
  <si>
    <t xml:space="preserve"> ['altai', 'vindija'], fraction of windows equal</t>
  </si>
  <si>
    <t xml:space="preserve"> ['chag', 'vindija'], fraction of windows equal</t>
  </si>
  <si>
    <t xml:space="preserve"> ['denisova'], fraction of windows equal</t>
  </si>
  <si>
    <t xml:space="preserve"> ['altai'], fraction of windows equal</t>
  </si>
  <si>
    <t xml:space="preserve"> ['chag'], fraction of windows equal</t>
  </si>
  <si>
    <t xml:space="preserve"> ['vindija'], fraction of windows equal</t>
  </si>
  <si>
    <t>more than 1 arc</t>
  </si>
  <si>
    <t>more than 1 neanderthal</t>
  </si>
  <si>
    <t>Whole assembly</t>
  </si>
  <si>
    <t>contig 1</t>
  </si>
  <si>
    <t xml:space="preserve"> ['denisova', 'altai', 'chag', 'vindija'], fraction of windows predicted archaic</t>
  </si>
  <si>
    <t xml:space="preserve"> ['denisova', 'altai', 'chag'], fraction of windows predicted archaic</t>
  </si>
  <si>
    <t xml:space="preserve"> ['denisova', 'altai', 'vindija'], fraction of windows predicted archaic</t>
  </si>
  <si>
    <t xml:space="preserve"> ['denisova', 'chag', 'vindija'], fraction of windows predicted archaic</t>
  </si>
  <si>
    <t xml:space="preserve"> ['altai', 'chag', 'vindija'], fraction of windows predicted archaic</t>
  </si>
  <si>
    <t xml:space="preserve"> ['denisova', 'altai'], fraction of windows predicted archaic</t>
  </si>
  <si>
    <t xml:space="preserve"> ['denisova', 'chag'], fraction of windows predicted archaic</t>
  </si>
  <si>
    <t xml:space="preserve"> ['denisova', 'vindija'], fraction of windows predicted archaic</t>
  </si>
  <si>
    <t xml:space="preserve"> ['altai', 'chag'], fraction of windows predicted archaic</t>
  </si>
  <si>
    <t xml:space="preserve"> ['altai', 'vindija'], fraction of windows predicted archaic</t>
  </si>
  <si>
    <t xml:space="preserve"> ['chag', 'vindija'], fraction of windows predicted archaic</t>
  </si>
  <si>
    <t xml:space="preserve"> ['denisova'], fraction of windows predicted archaic</t>
  </si>
  <si>
    <t xml:space="preserve"> ['altai'], fraction of windows predicted archaic</t>
  </si>
  <si>
    <t xml:space="preserve"> ['chag'], fraction of windows predicted archaic</t>
  </si>
  <si>
    <t xml:space="preserve"> ['vindija'], fraction of windows predicted archaic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</si>
</sst>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8BD3F-6836-B647-B662-0E3CBADEE7B8}">
  <dimension ref="B1:E58"/>
  <sheetViews>
    <sheetView tabSelected="1" topLeftCell="A23" workbookViewId="0">
      <selection activeCell="F39" sqref="F39"/>
    </sheetView>
  </sheetViews>
  <sheetFormatPr baseColWidth="10" defaultColWidth="11" defaultRowHeight="16" x14ac:dyDescent="0.2"/>
  <cols>
    <col min="2" max="2" width="50" bestFit="1" customWidth="1"/>
    <col min="3" max="3" width="14.1640625" bestFit="1" customWidth="1"/>
    <col min="4" max="4" width="13.6640625" bestFit="1" customWidth="1"/>
    <col min="5" max="5" width="21" bestFit="1" customWidth="1"/>
  </cols>
  <sheetData>
    <row r="1" spans="2:5" x14ac:dyDescent="0.2">
      <c r="C1" t="s">
        <v>17</v>
      </c>
      <c r="D1" t="s">
        <v>15</v>
      </c>
      <c r="E1" t="s">
        <v>16</v>
      </c>
    </row>
    <row r="2" spans="2:5" x14ac:dyDescent="0.2">
      <c r="B2" t="s">
        <v>0</v>
      </c>
      <c r="C2" s="1">
        <v>2.3318758698454799E-2</v>
      </c>
      <c r="D2">
        <v>1</v>
      </c>
      <c r="E2">
        <v>1</v>
      </c>
    </row>
    <row r="3" spans="2:5" x14ac:dyDescent="0.2">
      <c r="B3" t="s">
        <v>1</v>
      </c>
      <c r="C3" s="1">
        <v>2.6010269269336299E-2</v>
      </c>
      <c r="D3">
        <v>1</v>
      </c>
      <c r="E3">
        <v>1</v>
      </c>
    </row>
    <row r="4" spans="2:5" x14ac:dyDescent="0.2">
      <c r="B4" t="s">
        <v>2</v>
      </c>
      <c r="C4" s="1">
        <v>2.55082394655879E-2</v>
      </c>
      <c r="D4">
        <v>1</v>
      </c>
      <c r="E4">
        <v>1</v>
      </c>
    </row>
    <row r="5" spans="2:5" x14ac:dyDescent="0.2">
      <c r="B5" t="s">
        <v>3</v>
      </c>
      <c r="C5" s="1">
        <v>2.5009495197204398E-2</v>
      </c>
      <c r="D5">
        <v>1</v>
      </c>
      <c r="E5">
        <v>1</v>
      </c>
    </row>
    <row r="6" spans="2:5" x14ac:dyDescent="0.2">
      <c r="B6" t="s">
        <v>4</v>
      </c>
      <c r="C6" s="1">
        <v>3.73052827466024E-2</v>
      </c>
      <c r="D6">
        <v>1</v>
      </c>
      <c r="E6">
        <v>1</v>
      </c>
    </row>
    <row r="7" spans="2:5" x14ac:dyDescent="0.2">
      <c r="B7" t="s">
        <v>5</v>
      </c>
      <c r="C7" s="1">
        <v>3.6718486130441E-2</v>
      </c>
      <c r="D7">
        <v>1</v>
      </c>
    </row>
    <row r="8" spans="2:5" x14ac:dyDescent="0.2">
      <c r="B8" t="s">
        <v>6</v>
      </c>
      <c r="C8" s="1">
        <v>2.8787203759703801E-2</v>
      </c>
      <c r="D8">
        <v>1</v>
      </c>
    </row>
    <row r="9" spans="2:5" x14ac:dyDescent="0.2">
      <c r="B9" t="s">
        <v>7</v>
      </c>
      <c r="C9">
        <v>2.82766315640068E-2</v>
      </c>
      <c r="D9">
        <v>1</v>
      </c>
    </row>
    <row r="10" spans="2:5" x14ac:dyDescent="0.2">
      <c r="B10" t="s">
        <v>8</v>
      </c>
      <c r="C10">
        <v>4.2707359993481499E-2</v>
      </c>
      <c r="D10">
        <v>1</v>
      </c>
      <c r="E10">
        <v>1</v>
      </c>
    </row>
    <row r="11" spans="2:5" x14ac:dyDescent="0.2">
      <c r="B11" t="s">
        <v>9</v>
      </c>
      <c r="C11">
        <v>4.1809094624732701E-2</v>
      </c>
      <c r="D11">
        <v>1</v>
      </c>
      <c r="E11">
        <v>1</v>
      </c>
    </row>
    <row r="12" spans="2:5" x14ac:dyDescent="0.2">
      <c r="B12" t="s">
        <v>10</v>
      </c>
      <c r="C12">
        <v>4.4049172636484397E-2</v>
      </c>
      <c r="D12">
        <v>1</v>
      </c>
      <c r="E12">
        <v>1</v>
      </c>
    </row>
    <row r="13" spans="2:5" x14ac:dyDescent="0.2">
      <c r="B13" t="s">
        <v>11</v>
      </c>
      <c r="C13">
        <v>8.4537482044549195E-2</v>
      </c>
    </row>
    <row r="14" spans="2:5" x14ac:dyDescent="0.2">
      <c r="B14" t="s">
        <v>12</v>
      </c>
      <c r="C14">
        <v>8.0334625205838797E-2</v>
      </c>
    </row>
    <row r="15" spans="2:5" x14ac:dyDescent="0.2">
      <c r="B15" t="s">
        <v>13</v>
      </c>
      <c r="C15">
        <v>6.1731923970083202E-2</v>
      </c>
    </row>
    <row r="16" spans="2:5" x14ac:dyDescent="0.2">
      <c r="B16" t="s">
        <v>14</v>
      </c>
      <c r="C16">
        <v>6.2682100797596493E-2</v>
      </c>
    </row>
    <row r="17" spans="2:5" x14ac:dyDescent="0.2">
      <c r="D17">
        <f>AVERAGE(C2:C12)</f>
        <v>3.2681817644185089E-2</v>
      </c>
      <c r="E17">
        <f>SUM(C2:C6)</f>
        <v>0.13715204537718578</v>
      </c>
    </row>
    <row r="18" spans="2:5" x14ac:dyDescent="0.2">
      <c r="E18">
        <f>SUM(C10:C12)</f>
        <v>0.12856562725469858</v>
      </c>
    </row>
    <row r="19" spans="2:5" x14ac:dyDescent="0.2">
      <c r="E19">
        <f>(E17+E18) / 8</f>
        <v>3.3214709078985549E-2</v>
      </c>
    </row>
    <row r="20" spans="2:5" x14ac:dyDescent="0.2">
      <c r="C20" t="s">
        <v>18</v>
      </c>
      <c r="D20" t="s">
        <v>15</v>
      </c>
      <c r="E20" t="s">
        <v>16</v>
      </c>
    </row>
    <row r="21" spans="2:5" x14ac:dyDescent="0.2">
      <c r="B21" t="s">
        <v>0</v>
      </c>
      <c r="C21">
        <v>2.3581005787411399E-2</v>
      </c>
      <c r="D21">
        <v>1</v>
      </c>
      <c r="E21">
        <v>1</v>
      </c>
    </row>
    <row r="22" spans="2:5" x14ac:dyDescent="0.2">
      <c r="B22" t="s">
        <v>1</v>
      </c>
      <c r="C22">
        <v>2.6402818217764801E-2</v>
      </c>
      <c r="D22">
        <v>1</v>
      </c>
      <c r="E22">
        <v>1</v>
      </c>
    </row>
    <row r="23" spans="2:5" x14ac:dyDescent="0.2">
      <c r="B23" t="s">
        <v>2</v>
      </c>
      <c r="C23">
        <v>2.5755778424817501E-2</v>
      </c>
      <c r="D23">
        <v>1</v>
      </c>
      <c r="E23">
        <v>1</v>
      </c>
    </row>
    <row r="24" spans="2:5" x14ac:dyDescent="0.2">
      <c r="B24" t="s">
        <v>3</v>
      </c>
      <c r="C24">
        <v>2.5414285200761999E-2</v>
      </c>
      <c r="D24">
        <v>1</v>
      </c>
      <c r="E24">
        <v>1</v>
      </c>
    </row>
    <row r="25" spans="2:5" x14ac:dyDescent="0.2">
      <c r="B25" t="s">
        <v>4</v>
      </c>
      <c r="C25">
        <v>4.0457960386786E-2</v>
      </c>
      <c r="D25">
        <v>1</v>
      </c>
      <c r="E25">
        <v>1</v>
      </c>
    </row>
    <row r="26" spans="2:5" x14ac:dyDescent="0.2">
      <c r="B26" t="s">
        <v>5</v>
      </c>
      <c r="C26">
        <v>3.6971134835903502E-2</v>
      </c>
      <c r="D26">
        <v>1</v>
      </c>
    </row>
    <row r="27" spans="2:5" x14ac:dyDescent="0.2">
      <c r="B27" t="s">
        <v>6</v>
      </c>
      <c r="C27">
        <v>2.9368417268773098E-2</v>
      </c>
      <c r="D27">
        <v>1</v>
      </c>
    </row>
    <row r="28" spans="2:5" x14ac:dyDescent="0.2">
      <c r="B28" t="s">
        <v>7</v>
      </c>
      <c r="C28">
        <v>2.85056975448434E-2</v>
      </c>
      <c r="D28">
        <v>1</v>
      </c>
    </row>
    <row r="29" spans="2:5" x14ac:dyDescent="0.2">
      <c r="B29" t="s">
        <v>8</v>
      </c>
      <c r="C29">
        <v>4.61015852474927E-2</v>
      </c>
      <c r="D29">
        <v>1</v>
      </c>
      <c r="E29">
        <v>1</v>
      </c>
    </row>
    <row r="30" spans="2:5" x14ac:dyDescent="0.2">
      <c r="B30" t="s">
        <v>9</v>
      </c>
      <c r="C30">
        <v>4.4681692368525101E-2</v>
      </c>
      <c r="D30">
        <v>1</v>
      </c>
      <c r="E30">
        <v>1</v>
      </c>
    </row>
    <row r="31" spans="2:5" x14ac:dyDescent="0.2">
      <c r="B31" t="s">
        <v>10</v>
      </c>
      <c r="C31">
        <v>4.7611344764369602E-2</v>
      </c>
      <c r="D31">
        <v>1</v>
      </c>
      <c r="E31">
        <v>1</v>
      </c>
    </row>
    <row r="32" spans="2:5" x14ac:dyDescent="0.2">
      <c r="B32" t="s">
        <v>11</v>
      </c>
      <c r="C32">
        <v>8.2210000359466504E-2</v>
      </c>
    </row>
    <row r="33" spans="2:5" x14ac:dyDescent="0.2">
      <c r="B33" t="s">
        <v>12</v>
      </c>
      <c r="C33">
        <v>8.0358747618534093E-2</v>
      </c>
    </row>
    <row r="34" spans="2:5" x14ac:dyDescent="0.2">
      <c r="B34" t="s">
        <v>13</v>
      </c>
      <c r="C34">
        <v>6.45961393292354E-2</v>
      </c>
    </row>
    <row r="35" spans="2:5" x14ac:dyDescent="0.2">
      <c r="B35" t="s">
        <v>14</v>
      </c>
      <c r="C35">
        <v>6.5782378949638703E-2</v>
      </c>
    </row>
    <row r="36" spans="2:5" x14ac:dyDescent="0.2">
      <c r="D36">
        <f>AVERAGE(C21:C31)</f>
        <v>3.4077429095222649E-2</v>
      </c>
      <c r="E36">
        <f>SUM(C21:C25)</f>
        <v>0.1416118480175417</v>
      </c>
    </row>
    <row r="37" spans="2:5" x14ac:dyDescent="0.2">
      <c r="E37">
        <f>SUM(C29:C31)</f>
        <v>0.13839462238038741</v>
      </c>
    </row>
    <row r="38" spans="2:5" x14ac:dyDescent="0.2">
      <c r="E38">
        <f>(E36+E37) / 8</f>
        <v>3.5000808799741143E-2</v>
      </c>
    </row>
    <row r="40" spans="2:5" x14ac:dyDescent="0.2">
      <c r="C40" t="s">
        <v>18</v>
      </c>
      <c r="D40" t="s">
        <v>15</v>
      </c>
      <c r="E40" t="s">
        <v>16</v>
      </c>
    </row>
    <row r="41" spans="2:5" x14ac:dyDescent="0.2">
      <c r="B41" t="s">
        <v>19</v>
      </c>
      <c r="C41">
        <v>3.1327509975196802E-2</v>
      </c>
      <c r="D41">
        <v>1</v>
      </c>
      <c r="E41">
        <v>1</v>
      </c>
    </row>
    <row r="42" spans="2:5" x14ac:dyDescent="0.2">
      <c r="B42" t="s">
        <v>20</v>
      </c>
      <c r="C42">
        <v>3.2226176354290197E-2</v>
      </c>
      <c r="D42">
        <v>1</v>
      </c>
      <c r="E42">
        <v>1</v>
      </c>
    </row>
    <row r="43" spans="2:5" x14ac:dyDescent="0.2">
      <c r="B43" t="s">
        <v>21</v>
      </c>
      <c r="C43">
        <v>3.1884683130234702E-2</v>
      </c>
      <c r="D43">
        <v>1</v>
      </c>
      <c r="E43">
        <v>1</v>
      </c>
    </row>
    <row r="44" spans="2:5" x14ac:dyDescent="0.2">
      <c r="B44" t="s">
        <v>22</v>
      </c>
      <c r="C44">
        <v>3.2136309716380797E-2</v>
      </c>
      <c r="D44">
        <v>1</v>
      </c>
      <c r="E44">
        <v>1</v>
      </c>
    </row>
    <row r="45" spans="2:5" x14ac:dyDescent="0.2">
      <c r="B45" t="s">
        <v>23</v>
      </c>
      <c r="C45">
        <v>4.3944785937668498E-2</v>
      </c>
      <c r="D45">
        <v>1</v>
      </c>
      <c r="E45">
        <v>1</v>
      </c>
    </row>
    <row r="46" spans="2:5" x14ac:dyDescent="0.2">
      <c r="B46" t="s">
        <v>24</v>
      </c>
      <c r="C46">
        <v>3.61263884395557E-2</v>
      </c>
      <c r="D46">
        <v>1</v>
      </c>
    </row>
    <row r="47" spans="2:5" x14ac:dyDescent="0.2">
      <c r="B47" t="s">
        <v>25</v>
      </c>
      <c r="C47">
        <v>3.34663359574391E-2</v>
      </c>
      <c r="D47">
        <v>1</v>
      </c>
    </row>
    <row r="48" spans="2:5" x14ac:dyDescent="0.2">
      <c r="B48" t="s">
        <v>26</v>
      </c>
      <c r="C48">
        <v>3.2927136129983103E-2</v>
      </c>
      <c r="D48">
        <v>1</v>
      </c>
    </row>
    <row r="49" spans="2:5" x14ac:dyDescent="0.2">
      <c r="B49" t="s">
        <v>27</v>
      </c>
      <c r="C49">
        <v>4.5274812178726698E-2</v>
      </c>
      <c r="D49">
        <v>1</v>
      </c>
      <c r="E49">
        <v>1</v>
      </c>
    </row>
    <row r="50" spans="2:5" x14ac:dyDescent="0.2">
      <c r="B50" t="s">
        <v>28</v>
      </c>
      <c r="C50">
        <v>4.5184945540817402E-2</v>
      </c>
      <c r="D50">
        <v>1</v>
      </c>
      <c r="E50">
        <v>1</v>
      </c>
    </row>
    <row r="51" spans="2:5" x14ac:dyDescent="0.2">
      <c r="B51" t="s">
        <v>29</v>
      </c>
      <c r="C51">
        <v>4.6299291850893202E-2</v>
      </c>
      <c r="D51">
        <v>1</v>
      </c>
      <c r="E51">
        <v>1</v>
      </c>
    </row>
    <row r="52" spans="2:5" x14ac:dyDescent="0.2">
      <c r="B52" t="s">
        <v>30</v>
      </c>
      <c r="C52">
        <v>5.1493583522053202E-2</v>
      </c>
    </row>
    <row r="53" spans="2:5" x14ac:dyDescent="0.2">
      <c r="B53" t="s">
        <v>31</v>
      </c>
      <c r="C53">
        <v>5.2949423056184601E-2</v>
      </c>
    </row>
    <row r="54" spans="2:5" x14ac:dyDescent="0.2">
      <c r="B54" t="s">
        <v>32</v>
      </c>
      <c r="C54">
        <v>4.8869477695100402E-2</v>
      </c>
    </row>
    <row r="55" spans="2:5" x14ac:dyDescent="0.2">
      <c r="B55" t="s">
        <v>33</v>
      </c>
      <c r="C55">
        <v>4.9139077608828498E-2</v>
      </c>
    </row>
    <row r="56" spans="2:5" x14ac:dyDescent="0.2">
      <c r="D56">
        <f>AVERAGE(C41:C51)</f>
        <v>3.7345306837380569E-2</v>
      </c>
      <c r="E56">
        <f>SUM(C41:C45)</f>
        <v>0.17151946511377097</v>
      </c>
    </row>
    <row r="57" spans="2:5" x14ac:dyDescent="0.2">
      <c r="E57">
        <f>SUM(C49:C51)</f>
        <v>0.1367590495704373</v>
      </c>
    </row>
    <row r="58" spans="2:5" x14ac:dyDescent="0.2">
      <c r="E58">
        <f>(E56+E57) / 8</f>
        <v>3.8534814335526038E-2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Eichelman</dc:creator>
  <cp:lastModifiedBy>Matthew Eichelman</cp:lastModifiedBy>
  <dcterms:created xsi:type="dcterms:W3CDTF">2025-12-03T19:42:11Z</dcterms:created>
  <dcterms:modified xsi:type="dcterms:W3CDTF">2025-12-03T20:03:48Z</dcterms:modified>
</cp:coreProperties>
</file>